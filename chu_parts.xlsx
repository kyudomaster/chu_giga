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Documenten (niet games)\Chunithm Controller\chu_giga\"/>
    </mc:Choice>
  </mc:AlternateContent>
  <xr:revisionPtr revIDLastSave="0" documentId="13_ncr:1_{4310DA49-D075-46A6-AC49-BDC00D5DD8B7}" xr6:coauthVersionLast="47" xr6:coauthVersionMax="47" xr10:uidLastSave="{00000000-0000-0000-0000-000000000000}"/>
  <bookViews>
    <workbookView xWindow="3795" yWindow="1950" windowWidth="28800" windowHeight="18975" xr2:uid="{225326DC-303E-4F40-81CB-3A2A11FDD063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2" i="1" l="1" a="1"/>
  <c r="G42" i="1" s="1"/>
  <c r="G26" i="1" a="1"/>
  <c r="G26" i="1" s="1"/>
  <c r="G43" i="1" s="1"/>
  <c r="G33" i="1" a="1"/>
  <c r="G33" i="1" s="1"/>
  <c r="C40" i="1"/>
  <c r="C22" i="1"/>
  <c r="C3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<sst xmlns="http://schemas.openxmlformats.org/spreadsheetml/2006/main" count="114" uniqueCount="74">
  <si>
    <t>Chu_Giga</t>
  </si>
  <si>
    <t>BOM</t>
  </si>
  <si>
    <t>Name</t>
  </si>
  <si>
    <t>Number</t>
  </si>
  <si>
    <t>Raspberry Pi Pico (2)(W)</t>
  </si>
  <si>
    <t>USB-C socket ((918-418K2023S40001 or KH-TYPE-C-16P)</t>
  </si>
  <si>
    <t>WS2812B-4020 side-facing RGB LEDs.</t>
  </si>
  <si>
    <t>TCA9548APWR (TSSOP-24) I2C multiplexer</t>
  </si>
  <si>
    <t>Link to Part</t>
  </si>
  <si>
    <t>MPR121 modules</t>
  </si>
  <si>
    <t>0603 5.1k Ohm resistors</t>
  </si>
  <si>
    <t>0603 1 microF capacitors</t>
  </si>
  <si>
    <t>EVQP46B3M tiny tactile switches</t>
  </si>
  <si>
    <t>ST VL53L0X ToF Sensors GY530</t>
  </si>
  <si>
    <t>https://nl.mouser.com/ProductDetail/Murata-Electronics/GXT188R71C105KE13D?qs=d0WKAl%252BL4KYvDVwMHfkoxw%3D%3D</t>
  </si>
  <si>
    <t>https://nl.mouser.com/ProductDetail/Inolux/IN-PI42TASPRPGPB?qs=mAH9sUMRCttLpM33XCs9Lg%3D%3D</t>
  </si>
  <si>
    <t>https://nl.mouser.com/ProductDetail/SEI-Stackpole/RMCF0603FT5K10?qs=FESYatJ8odLDGF0bJ%2FNNFQ%3D%3D</t>
  </si>
  <si>
    <t>https://nl.mouser.com/ProductDetail/Same-Sky/UJ20-C-H-G-SMT-1-P16-TR?qs=IKkN%2F947nfA6nby92vSKkw%3D%3D</t>
  </si>
  <si>
    <t>https://nl.mouser.com/ProductDetail/Raspberry-Pi/SC0915?qs=T%252BzbugeAwjgnLi4azxXVFA%3D%3D</t>
  </si>
  <si>
    <t>https://nl.mouser.com/ProductDetail/Texas-Instruments/TCA9548APWR?qs=sGAEpiMZZMutXGli8Ay4kHAf4%2FN1WW693xDAZd3LyqA%3D</t>
  </si>
  <si>
    <t>https://www.reichelt.com/ie/en/shop/product/developer_boards_-_board_for_capacitive_touch_sensors_mpr121-291455</t>
  </si>
  <si>
    <t>https://nl.mouser.com/ProductDetail/Panasonic/EVQ-P46B3M?qs=0aNVN3t2tDvy2i5lONF68A%3D%3D</t>
  </si>
  <si>
    <t>https://nl.aliexpress.com/item/1005006193300678.html?spm=a2g0o.detail.pcDetailTopMoreOtherSeller.8.5e18rh3srh3sGi&amp;gps-id=pcDetailTopMoreOtherSeller&amp;scm=1007.40050.354490.0&amp;scm_id=1007.40050.354490.0&amp;scm-url=1007.40050.354490.0&amp;pvid=04eb7703-0dd3-4e48-bf4a-b47e0a935f76&amp;_t=gps-id%3ApcDetailTopMoreOtherSeller%2Cscm-url%3A1007.40050.354490.0%2Cpvid%3A04eb7703-0dd3-4e48-bf4a-b47e0a935f76%2Ctpp_buckets%3A668%232846%238109%231935&amp;pdp_ext_f=%7B%22order%22%3A%2231%22%2C%22spu_best_type%22%3A%22price%22%2C%22eval%22%3A%221%22%2C%22sceneId%22%3A%2230050%22%2C%22fromPage%22%3A%22recommend%22%7D&amp;pdp_npi=6%40dis%21EUR%211.68%210.86%21%21%211.92%210.98%21%40211b813b17690114480044816e4405%2112000036213135286%21rec%21NL%21%21ABX%211%210%21n_tag%3A-29910%3Bd%3Aa73fe584%3Bm03_new_user%3A-29895%3BpisId%3A5000000197833602&amp;utparam-url=scene%3ApcDetailTopMoreOtherSeller%7Cquery_from%3A%7Cx_object_id%3A1005006193300678%7C_p_origin_prod%3A&amp;gatewayAdapt=glo2nld</t>
  </si>
  <si>
    <t>PCB Parts</t>
  </si>
  <si>
    <t>Legend</t>
  </si>
  <si>
    <t>Touchpads</t>
  </si>
  <si>
    <t>Controller</t>
  </si>
  <si>
    <t>Time-Of-Flight sensor</t>
  </si>
  <si>
    <t>Amount</t>
  </si>
  <si>
    <t>For 1 Controller</t>
  </si>
  <si>
    <t>https://nl.aliexpress.com/item/1005009068217313.html?spm=a2g0o.order_list.order_list_main.22.24951802ZQ01DJ&amp;gatewayAdapt=glo2nld</t>
  </si>
  <si>
    <t>MPR121 Module (Capacitive touch)</t>
  </si>
  <si>
    <t>0805 1 microF Capacitors</t>
  </si>
  <si>
    <t>Part #</t>
  </si>
  <si>
    <t>USB-C same sky</t>
  </si>
  <si>
    <t>SC0915</t>
  </si>
  <si>
    <t>UJ20-C-H-G-SMT-1-P16-TR</t>
  </si>
  <si>
    <t>N/A</t>
  </si>
  <si>
    <t>Price per item</t>
  </si>
  <si>
    <t>https://nl.mouser.com/ProductDetail/Samsung-Electro-Mechanics/CL21B105KAFNNNG?qs=sGAEpiMZZMsh%252B1woXyUXj%252BV5GOLijFH86wJH3qqOswc%3D</t>
  </si>
  <si>
    <t>CL21B105KAFNNNG</t>
  </si>
  <si>
    <t>Inolux 4020 Side View RGB LED 4-Pin with Integrated IC</t>
  </si>
  <si>
    <t>IN-PI42TASPRPGPB</t>
  </si>
  <si>
    <t>TE connectivity 6 pin header</t>
  </si>
  <si>
    <t>640455-6</t>
  </si>
  <si>
    <t>https://nl.mouser.com/ProductDetail/TE-Connectivity/640455-6?qs=%2F35zJ5USjokIauqXdzyPIA%3D%3D</t>
  </si>
  <si>
    <t>TE Connectivity 6 pin housing</t>
  </si>
  <si>
    <t>1375820-6</t>
  </si>
  <si>
    <t>TE Connectivity Contact</t>
  </si>
  <si>
    <t>1445336-1</t>
  </si>
  <si>
    <t>https://nl.mouser.com/ProductDetail/TE-Connectivity-AMP/1375820-6?qs=A%252B%2FNCR0PvNXoGB8b1%252BcKvQ%3D%3D</t>
  </si>
  <si>
    <t>https://nl.mouser.com/ProductDetail/TE-Connectivity-AMP/1445336-1?qs=KdTYp8tcPgmCxccbDVTrIw%3D%3D</t>
  </si>
  <si>
    <t>Laser cut parts</t>
  </si>
  <si>
    <t>CNC parts</t>
  </si>
  <si>
    <t>Other</t>
  </si>
  <si>
    <t>EVQ-P46B3M</t>
  </si>
  <si>
    <t>Panasonic tiny tactile switches</t>
  </si>
  <si>
    <t>TCA9548APWR</t>
  </si>
  <si>
    <t>TE Connectivity 4 pin housing</t>
  </si>
  <si>
    <t>1375820-4</t>
  </si>
  <si>
    <t>https://nl.mouser.com/ProductDetail/TE-Connectivity-AMP/1375820-4?qs=HSGlLeu24BO3HoziPibDTg%3D%3D</t>
  </si>
  <si>
    <t>https://nl.mouser.com/ProductDetail/TE-Connectivity/640455-4?qs=%2F35zJ5USjolIN5b4JrZGlg%3D%3D</t>
  </si>
  <si>
    <t>TE connectivity 4 pin header</t>
  </si>
  <si>
    <t>640455-4</t>
  </si>
  <si>
    <t>Time-of-Flight Sensor board</t>
  </si>
  <si>
    <t>ST VL53L0X - GY530 (Sensor/Board)</t>
  </si>
  <si>
    <t>https://nl.aliexpress.com/item/1005009427024502.html?spm=a2g0o.order_detail.order_detail_item.4.11dff19czVwTxf&amp;gatewayAdapt=glo2nld</t>
  </si>
  <si>
    <t>M3 Screws</t>
  </si>
  <si>
    <t>Cost per PCB</t>
  </si>
  <si>
    <t>Total per Controller</t>
  </si>
  <si>
    <t>https://nl.mouser.com/ProductDetail/Vishay/CRCW08055K10JNEA?qs=8UjxRNpjuUKaOnmI6WLdBA%3D%3D</t>
  </si>
  <si>
    <t>5.1K Ohm 0805 Thick Film Resistor</t>
  </si>
  <si>
    <t>CRCW08055K10JNEA</t>
  </si>
  <si>
    <t>0805 330 Ohm Resistor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</si>
</sst>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€&quot;\ #,##0;[Red]&quot;€&quot;\ \-#,##0"/>
    <numFmt numFmtId="8" formatCode="&quot;€&quot;\ #,##0.00;[Red]&quot;€&quot;\ \-#,##0.00"/>
  </numFmts>
  <fonts count="5" x14ac:knownFonts="1">
    <font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color rgb="FF00B05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3" fillId="0" borderId="0" xfId="0" applyFont="1"/>
    <xf numFmtId="0" fontId="4" fillId="0" borderId="0" xfId="1"/>
    <xf numFmtId="8" fontId="0" fillId="0" borderId="0" xfId="0" applyNumberFormat="1"/>
    <xf numFmtId="6" fontId="0" fillId="0" borderId="0" xfId="0" applyNumberFormat="1"/>
    <xf numFmtId="6" fontId="0" fillId="2" borderId="0" xfId="0" applyNumberFormat="1" applyFill="1"/>
    <xf numFmtId="0" fontId="4" fillId="2" borderId="0" xfId="1" applyFill="1"/>
    <xf numFmtId="8" fontId="0" fillId="2" borderId="0" xfId="0" applyNumberFormat="1" applyFill="1"/>
    <xf numFmtId="0" fontId="0" fillId="5" borderId="0" xfId="0" applyFill="1"/>
    <xf numFmtId="8" fontId="0" fillId="5" borderId="0" xfId="0" applyNumberFormat="1" applyFill="1"/>
    <xf numFmtId="0" fontId="4" fillId="5" borderId="0" xfId="1" applyFill="1"/>
    <xf numFmtId="8" fontId="0" fillId="4" borderId="0" xfId="0" applyNumberFormat="1" applyFill="1"/>
    <xf numFmtId="0" fontId="4" fillId="4" borderId="0" xfId="1" applyFill="1"/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nl.mouser.com/ProductDetail/TE-Connectivity-AMP/1375820-6?qs=A%252B%2FNCR0PvNXoGB8b1%252BcKvQ%3D%3D" TargetMode="External"/><Relationship Id="rId13" Type="http://schemas.openxmlformats.org/officeDocument/2006/relationships/hyperlink" Target="https://nl.mouser.com/ProductDetail/TE-Connectivity/640455-4?qs=%2F35zJ5USjolIN5b4JrZGlg%3D%3D" TargetMode="External"/><Relationship Id="rId18" Type="http://schemas.openxmlformats.org/officeDocument/2006/relationships/hyperlink" Target="https://nl.mouser.com/ProductDetail/Texas-Instruments/TCA9548APWR?qs=sGAEpiMZZMutXGli8Ay4kHAf4%2FN1WW693xDAZd3LyqA%3D" TargetMode="External"/><Relationship Id="rId26" Type="http://schemas.openxmlformats.org/officeDocument/2006/relationships/hyperlink" Target="https://nl.mouser.com/ProductDetail/Vishay/CRCW08055K10JNEA?qs=8UjxRNpjuUKaOnmI6WLdBA%3D%3D" TargetMode="External"/><Relationship Id="rId3" Type="http://schemas.openxmlformats.org/officeDocument/2006/relationships/hyperlink" Target="https://nl.aliexpress.com/item/1005009068217313.html?spm=a2g0o.order_list.order_list_main.22.24951802ZQ01DJ&amp;gatewayAdapt=glo2nld" TargetMode="External"/><Relationship Id="rId21" Type="http://schemas.openxmlformats.org/officeDocument/2006/relationships/hyperlink" Target="https://nl.mouser.com/ProductDetail/TE-Connectivity-AMP/1375820-4?qs=HSGlLeu24BO3HoziPibDTg%3D%3D" TargetMode="External"/><Relationship Id="rId7" Type="http://schemas.openxmlformats.org/officeDocument/2006/relationships/hyperlink" Target="https://nl.mouser.com/ProductDetail/TE-Connectivity/640455-6?qs=%2F35zJ5USjokIauqXdzyPIA%3D%3D" TargetMode="External"/><Relationship Id="rId12" Type="http://schemas.openxmlformats.org/officeDocument/2006/relationships/hyperlink" Target="https://nl.mouser.com/ProductDetail/TE-Connectivity-AMP/1375820-6?qs=A%252B%2FNCR0PvNXoGB8b1%252BcKvQ%3D%3D" TargetMode="External"/><Relationship Id="rId17" Type="http://schemas.openxmlformats.org/officeDocument/2006/relationships/hyperlink" Target="https://nl.mouser.com/ProductDetail/Panasonic/EVQ-P46B3M?qs=0aNVN3t2tDvy2i5lONF68A%3D%3D" TargetMode="External"/><Relationship Id="rId25" Type="http://schemas.openxmlformats.org/officeDocument/2006/relationships/hyperlink" Target="https://nl.mouser.com/ProductDetail/Vishay/CRCW08055K10JNEA?qs=8UjxRNpjuUKaOnmI6WLdBA%3D%3D" TargetMode="External"/><Relationship Id="rId2" Type="http://schemas.openxmlformats.org/officeDocument/2006/relationships/hyperlink" Target="https://nl.mouser.com/ProductDetail/Same-Sky/UJ20-C-H-G-SMT-1-P16-TR?qs=IKkN%2F947nfA6nby92vSKkw%3D%3D" TargetMode="External"/><Relationship Id="rId16" Type="http://schemas.openxmlformats.org/officeDocument/2006/relationships/hyperlink" Target="https://nl.mouser.com/ProductDetail/Panasonic/EVQ-P46B3M?qs=0aNVN3t2tDvy2i5lONF68A%3D%3D" TargetMode="External"/><Relationship Id="rId20" Type="http://schemas.openxmlformats.org/officeDocument/2006/relationships/hyperlink" Target="https://nl.mouser.com/ProductDetail/Samsung-Electro-Mechanics/CL21B105KAFNNNG?qs=sGAEpiMZZMsh%252B1woXyUXj%252BV5GOLijFH86wJH3qqOswc%3D" TargetMode="External"/><Relationship Id="rId1" Type="http://schemas.openxmlformats.org/officeDocument/2006/relationships/hyperlink" Target="https://nl.mouser.com/ProductDetail/Raspberry-Pi/SC0915?qs=T%252BzbugeAwjgnLi4azxXVFA%3D%3D" TargetMode="External"/><Relationship Id="rId6" Type="http://schemas.openxmlformats.org/officeDocument/2006/relationships/hyperlink" Target="https://nl.mouser.com/ProductDetail/Inolux/IN-PI42TASPRPGPB?qs=mAH9sUMRCttLpM33XCs9Lg%3D%3D" TargetMode="External"/><Relationship Id="rId11" Type="http://schemas.openxmlformats.org/officeDocument/2006/relationships/hyperlink" Target="https://nl.mouser.com/ProductDetail/TE-Connectivity/640455-6?qs=%2F35zJ5USjokIauqXdzyPIA%3D%3D" TargetMode="External"/><Relationship Id="rId24" Type="http://schemas.openxmlformats.org/officeDocument/2006/relationships/hyperlink" Target="https://nl.mouser.com/ProductDetail/TE-Connectivity-AMP/1445336-1?qs=KdTYp8tcPgmCxccbDVTrIw%3D%3D" TargetMode="External"/><Relationship Id="rId5" Type="http://schemas.openxmlformats.org/officeDocument/2006/relationships/hyperlink" Target="https://nl.mouser.com/ProductDetail/Inolux/IN-PI42TASPRPGPB?qs=mAH9sUMRCttLpM33XCs9Lg%3D%3D" TargetMode="External"/><Relationship Id="rId15" Type="http://schemas.openxmlformats.org/officeDocument/2006/relationships/hyperlink" Target="https://nl.mouser.com/ProductDetail/TE-Connectivity-AMP/1375820-4?qs=HSGlLeu24BO3HoziPibDTg%3D%3D" TargetMode="External"/><Relationship Id="rId23" Type="http://schemas.openxmlformats.org/officeDocument/2006/relationships/hyperlink" Target="https://nl.aliexpress.com/item/1005009427024502.html?spm=a2g0o.order_detail.order_detail_item.4.11dff19czVwTxf&amp;gatewayAdapt=glo2nld" TargetMode="External"/><Relationship Id="rId10" Type="http://schemas.openxmlformats.org/officeDocument/2006/relationships/hyperlink" Target="https://nl.mouser.com/ProductDetail/Samsung-Electro-Mechanics/CL21B105KAFNNNG?qs=sGAEpiMZZMsh%252B1woXyUXj%252BV5GOLijFH86wJH3qqOswc%3D" TargetMode="External"/><Relationship Id="rId19" Type="http://schemas.openxmlformats.org/officeDocument/2006/relationships/hyperlink" Target="https://nl.mouser.com/ProductDetail/Texas-Instruments/TCA9548APWR?qs=sGAEpiMZZMutXGli8Ay4kHAf4%2FN1WW693xDAZd3LyqA%3D" TargetMode="External"/><Relationship Id="rId4" Type="http://schemas.openxmlformats.org/officeDocument/2006/relationships/hyperlink" Target="https://nl.mouser.com/ProductDetail/Samsung-Electro-Mechanics/CL21B105KAFNNNG?qs=sGAEpiMZZMsh%252B1woXyUXj%252BV5GOLijFH86wJH3qqOswc%3D" TargetMode="External"/><Relationship Id="rId9" Type="http://schemas.openxmlformats.org/officeDocument/2006/relationships/hyperlink" Target="https://nl.mouser.com/ProductDetail/TE-Connectivity-AMP/1445336-1?qs=KdTYp8tcPgmCxccbDVTrIw%3D%3D" TargetMode="External"/><Relationship Id="rId14" Type="http://schemas.openxmlformats.org/officeDocument/2006/relationships/hyperlink" Target="https://nl.mouser.com/ProductDetail/TE-Connectivity-AMP/1445336-1?qs=KdTYp8tcPgmCxccbDVTrIw%3D%3D" TargetMode="External"/><Relationship Id="rId22" Type="http://schemas.openxmlformats.org/officeDocument/2006/relationships/hyperlink" Target="https://nl.mouser.com/ProductDetail/TE-Connectivity/640455-4?qs=%2F35zJ5USjolIN5b4JrZGlg%3D%3D" TargetMode="External"/><Relationship Id="rId27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F7FE3-1325-46B2-A013-287A1111C1AF}">
  <dimension ref="A1:G47"/>
  <sheetViews>
    <sheetView tabSelected="1" topLeftCell="A4" workbookViewId="0">
      <selection activeCell="B34" sqref="B34"/>
    </sheetView>
  </sheetViews>
  <sheetFormatPr defaultRowHeight="15" x14ac:dyDescent="0.25"/>
  <cols>
    <col min="1" max="1" width="48.7109375" customWidth="1"/>
    <col min="2" max="2" width="40.140625" customWidth="1"/>
    <col min="4" max="4" width="13.28515625" customWidth="1"/>
    <col min="5" max="5" width="142.140625" customWidth="1"/>
    <col min="6" max="6" width="20.85546875" customWidth="1"/>
    <col min="13" max="13" width="20.140625" customWidth="1"/>
  </cols>
  <sheetData>
    <row r="1" spans="1:6" x14ac:dyDescent="0.25">
      <c r="A1" t="s">
        <v>0</v>
      </c>
      <c r="B1" t="s">
        <v>1</v>
      </c>
      <c r="C1" t="s">
        <v>8</v>
      </c>
    </row>
    <row r="2" spans="1:6" x14ac:dyDescent="0.25">
      <c r="A2" t="s">
        <v>2</v>
      </c>
      <c r="B2" t="s">
        <v>3</v>
      </c>
    </row>
    <row r="3" spans="1:6" x14ac:dyDescent="0.25">
      <c r="A3" t="s">
        <v>4</v>
      </c>
      <c r="B3">
        <v>1</v>
      </c>
      <c r="C3" t="s">
        <v>18</v>
      </c>
    </row>
    <row r="4" spans="1:6" x14ac:dyDescent="0.25">
      <c r="A4" t="s">
        <v>5</v>
      </c>
      <c r="B4">
        <v>1</v>
      </c>
      <c r="C4" t="s">
        <v>17</v>
      </c>
    </row>
    <row r="5" spans="1:6" x14ac:dyDescent="0.25">
      <c r="A5" t="s">
        <v>6</v>
      </c>
      <c r="B5">
        <v>36</v>
      </c>
      <c r="C5" s="7" t="s">
        <v>15</v>
      </c>
    </row>
    <row r="6" spans="1:6" x14ac:dyDescent="0.25">
      <c r="A6" t="s">
        <v>7</v>
      </c>
      <c r="B6">
        <v>1</v>
      </c>
      <c r="C6" s="7" t="s">
        <v>19</v>
      </c>
    </row>
    <row r="7" spans="1:6" x14ac:dyDescent="0.25">
      <c r="A7" t="s">
        <v>9</v>
      </c>
      <c r="B7">
        <v>3</v>
      </c>
      <c r="C7" t="s">
        <v>20</v>
      </c>
      <c r="D7" s="1"/>
      <c r="E7" s="2"/>
    </row>
    <row r="8" spans="1:6" x14ac:dyDescent="0.25">
      <c r="A8" t="s">
        <v>13</v>
      </c>
      <c r="B8">
        <v>8</v>
      </c>
      <c r="C8" t="s">
        <v>22</v>
      </c>
    </row>
    <row r="9" spans="1:6" x14ac:dyDescent="0.25">
      <c r="A9" t="s">
        <v>10</v>
      </c>
      <c r="B9">
        <v>12</v>
      </c>
      <c r="C9" t="s">
        <v>16</v>
      </c>
    </row>
    <row r="10" spans="1:6" x14ac:dyDescent="0.25">
      <c r="A10" t="s">
        <v>11</v>
      </c>
      <c r="B10">
        <v>8</v>
      </c>
      <c r="C10" t="s">
        <v>14</v>
      </c>
    </row>
    <row r="11" spans="1:6" x14ac:dyDescent="0.25">
      <c r="A11" t="s">
        <v>12</v>
      </c>
      <c r="B11">
        <v>3</v>
      </c>
      <c r="C11" s="7" t="s">
        <v>21</v>
      </c>
    </row>
    <row r="14" spans="1:6" x14ac:dyDescent="0.25">
      <c r="A14" s="6" t="s">
        <v>23</v>
      </c>
      <c r="C14" t="s">
        <v>29</v>
      </c>
    </row>
    <row r="15" spans="1:6" x14ac:dyDescent="0.25">
      <c r="A15" t="s">
        <v>2</v>
      </c>
      <c r="B15" t="s">
        <v>33</v>
      </c>
      <c r="C15" t="s">
        <v>28</v>
      </c>
      <c r="D15" t="s">
        <v>38</v>
      </c>
      <c r="E15" t="s">
        <v>8</v>
      </c>
      <c r="F15" s="6" t="s">
        <v>24</v>
      </c>
    </row>
    <row r="16" spans="1:6" x14ac:dyDescent="0.25">
      <c r="A16" s="13" t="s">
        <v>4</v>
      </c>
      <c r="B16" s="13" t="s">
        <v>35</v>
      </c>
      <c r="C16" s="13">
        <v>1</v>
      </c>
      <c r="D16" s="14">
        <v>3.44</v>
      </c>
      <c r="E16" s="15" t="s">
        <v>18</v>
      </c>
      <c r="F16" s="3" t="s">
        <v>25</v>
      </c>
    </row>
    <row r="17" spans="1:7" x14ac:dyDescent="0.25">
      <c r="A17" s="13" t="s">
        <v>34</v>
      </c>
      <c r="B17" s="13" t="s">
        <v>36</v>
      </c>
      <c r="C17" s="13">
        <v>1</v>
      </c>
      <c r="D17" s="14">
        <v>0.46</v>
      </c>
      <c r="E17" s="15" t="s">
        <v>17</v>
      </c>
      <c r="F17" s="4" t="s">
        <v>26</v>
      </c>
    </row>
    <row r="18" spans="1:7" x14ac:dyDescent="0.25">
      <c r="A18" s="13" t="s">
        <v>32</v>
      </c>
      <c r="B18" s="13" t="s">
        <v>40</v>
      </c>
      <c r="C18" s="13">
        <v>2</v>
      </c>
      <c r="D18" s="14">
        <v>0.86</v>
      </c>
      <c r="E18" s="15" t="s">
        <v>39</v>
      </c>
      <c r="F18" s="5" t="s">
        <v>27</v>
      </c>
    </row>
    <row r="19" spans="1:7" x14ac:dyDescent="0.25">
      <c r="A19" s="13" t="s">
        <v>43</v>
      </c>
      <c r="B19" s="13" t="s">
        <v>44</v>
      </c>
      <c r="C19" s="13">
        <v>1</v>
      </c>
      <c r="D19" s="14">
        <v>0.19</v>
      </c>
      <c r="E19" s="15" t="s">
        <v>45</v>
      </c>
    </row>
    <row r="20" spans="1:7" x14ac:dyDescent="0.25">
      <c r="A20" s="13" t="s">
        <v>46</v>
      </c>
      <c r="B20" s="13" t="s">
        <v>47</v>
      </c>
      <c r="C20" s="13">
        <v>1</v>
      </c>
      <c r="D20" s="14">
        <v>0.22</v>
      </c>
      <c r="E20" s="15" t="s">
        <v>50</v>
      </c>
    </row>
    <row r="21" spans="1:7" x14ac:dyDescent="0.25">
      <c r="A21" s="13" t="s">
        <v>62</v>
      </c>
      <c r="B21" s="13" t="s">
        <v>63</v>
      </c>
      <c r="C21" s="13">
        <v>2</v>
      </c>
      <c r="D21" s="14">
        <v>0.1</v>
      </c>
      <c r="E21" s="15" t="s">
        <v>61</v>
      </c>
    </row>
    <row r="22" spans="1:7" x14ac:dyDescent="0.25">
      <c r="A22" s="13" t="s">
        <v>48</v>
      </c>
      <c r="B22" s="13" t="s">
        <v>49</v>
      </c>
      <c r="C22" s="13">
        <f>6*C19+4*C21</f>
        <v>14</v>
      </c>
      <c r="D22" s="14">
        <v>0.09</v>
      </c>
      <c r="E22" s="15" t="s">
        <v>51</v>
      </c>
    </row>
    <row r="23" spans="1:7" x14ac:dyDescent="0.25">
      <c r="A23" s="13" t="s">
        <v>58</v>
      </c>
      <c r="B23" s="13" t="s">
        <v>59</v>
      </c>
      <c r="C23" s="13">
        <v>2</v>
      </c>
      <c r="D23" s="14">
        <v>0.19</v>
      </c>
      <c r="E23" s="15" t="s">
        <v>60</v>
      </c>
    </row>
    <row r="24" spans="1:7" x14ac:dyDescent="0.25">
      <c r="A24" s="13" t="s">
        <v>56</v>
      </c>
      <c r="B24" s="13" t="s">
        <v>55</v>
      </c>
      <c r="C24" s="13">
        <v>3</v>
      </c>
      <c r="D24" s="14">
        <v>0.68</v>
      </c>
      <c r="E24" s="15" t="s">
        <v>21</v>
      </c>
    </row>
    <row r="25" spans="1:7" x14ac:dyDescent="0.25">
      <c r="A25" s="13" t="s">
        <v>71</v>
      </c>
      <c r="B25" s="13" t="s">
        <v>72</v>
      </c>
      <c r="C25" s="13">
        <v>2</v>
      </c>
      <c r="D25" s="14">
        <v>0.09</v>
      </c>
      <c r="E25" s="15" t="s">
        <v>70</v>
      </c>
    </row>
    <row r="26" spans="1:7" x14ac:dyDescent="0.25">
      <c r="A26" s="13" t="s">
        <v>67</v>
      </c>
      <c r="C26" s="13">
        <v>4</v>
      </c>
      <c r="D26" s="9"/>
      <c r="F26" t="s">
        <v>68</v>
      </c>
      <c r="G26" s="8" cm="1">
        <f t="array" ref="G26">SUM(C16:C26*D16:D26)</f>
        <v>10.09</v>
      </c>
    </row>
    <row r="27" spans="1:7" x14ac:dyDescent="0.25">
      <c r="A27" s="3" t="s">
        <v>31</v>
      </c>
      <c r="B27" s="3" t="s">
        <v>37</v>
      </c>
      <c r="C27" s="3">
        <v>3</v>
      </c>
      <c r="D27" s="10">
        <v>1</v>
      </c>
      <c r="E27" s="11" t="s">
        <v>30</v>
      </c>
    </row>
    <row r="28" spans="1:7" x14ac:dyDescent="0.25">
      <c r="A28" s="3" t="s">
        <v>32</v>
      </c>
      <c r="B28" s="3" t="s">
        <v>40</v>
      </c>
      <c r="C28" s="3">
        <v>8</v>
      </c>
      <c r="D28" s="12">
        <v>0.86</v>
      </c>
      <c r="E28" s="11" t="s">
        <v>39</v>
      </c>
    </row>
    <row r="29" spans="1:7" x14ac:dyDescent="0.25">
      <c r="A29" s="3" t="s">
        <v>41</v>
      </c>
      <c r="B29" s="3" t="s">
        <v>42</v>
      </c>
      <c r="C29" s="3">
        <v>33</v>
      </c>
      <c r="D29" s="12">
        <v>0.65</v>
      </c>
      <c r="E29" s="11" t="s">
        <v>15</v>
      </c>
    </row>
    <row r="30" spans="1:7" x14ac:dyDescent="0.25">
      <c r="A30" s="3" t="s">
        <v>43</v>
      </c>
      <c r="B30" s="3" t="s">
        <v>44</v>
      </c>
      <c r="C30" s="3">
        <v>1</v>
      </c>
      <c r="D30" s="12">
        <v>0.19</v>
      </c>
      <c r="E30" s="11" t="s">
        <v>45</v>
      </c>
    </row>
    <row r="31" spans="1:7" x14ac:dyDescent="0.25">
      <c r="A31" s="3" t="s">
        <v>46</v>
      </c>
      <c r="B31" s="3" t="s">
        <v>47</v>
      </c>
      <c r="C31" s="3">
        <v>1</v>
      </c>
      <c r="D31" s="12">
        <v>0.22</v>
      </c>
      <c r="E31" s="11" t="s">
        <v>50</v>
      </c>
    </row>
    <row r="32" spans="1:7" x14ac:dyDescent="0.25">
      <c r="A32" s="3" t="s">
        <v>48</v>
      </c>
      <c r="B32" s="3" t="s">
        <v>49</v>
      </c>
      <c r="C32" s="3">
        <f>6*C30</f>
        <v>6</v>
      </c>
      <c r="D32" s="12">
        <v>0.09</v>
      </c>
      <c r="E32" s="11" t="s">
        <v>51</v>
      </c>
    </row>
    <row r="33" spans="1:7" x14ac:dyDescent="0.25">
      <c r="A33" s="3" t="s">
        <v>67</v>
      </c>
      <c r="C33" s="3">
        <v>5</v>
      </c>
      <c r="F33" t="s">
        <v>68</v>
      </c>
      <c r="G33" s="8" cm="1">
        <f t="array" ref="G33">SUM(C27:C33*D27:D33)</f>
        <v>32.28</v>
      </c>
    </row>
    <row r="34" spans="1:7" x14ac:dyDescent="0.25">
      <c r="A34" s="3" t="s">
        <v>73</v>
      </c>
    </row>
    <row r="35" spans="1:7" x14ac:dyDescent="0.25">
      <c r="A35" s="5" t="s">
        <v>7</v>
      </c>
      <c r="B35" s="5" t="s">
        <v>57</v>
      </c>
      <c r="C35" s="5">
        <v>1</v>
      </c>
      <c r="D35" s="16">
        <v>1.1399999999999999</v>
      </c>
      <c r="E35" s="17" t="s">
        <v>19</v>
      </c>
    </row>
    <row r="36" spans="1:7" x14ac:dyDescent="0.25">
      <c r="A36" s="5" t="s">
        <v>32</v>
      </c>
      <c r="B36" s="5" t="s">
        <v>40</v>
      </c>
      <c r="C36" s="5">
        <v>1</v>
      </c>
      <c r="D36" s="16">
        <v>0.86</v>
      </c>
      <c r="E36" s="17" t="s">
        <v>39</v>
      </c>
    </row>
    <row r="37" spans="1:7" x14ac:dyDescent="0.25">
      <c r="A37" s="5" t="s">
        <v>58</v>
      </c>
      <c r="B37" s="5" t="s">
        <v>59</v>
      </c>
      <c r="C37" s="5">
        <v>1</v>
      </c>
      <c r="D37" s="16">
        <v>0.19</v>
      </c>
      <c r="E37" s="17" t="s">
        <v>60</v>
      </c>
    </row>
    <row r="38" spans="1:7" x14ac:dyDescent="0.25">
      <c r="A38" s="5" t="s">
        <v>62</v>
      </c>
      <c r="B38" s="5" t="s">
        <v>63</v>
      </c>
      <c r="C38" s="5">
        <v>1</v>
      </c>
      <c r="D38" s="16">
        <v>0.1</v>
      </c>
      <c r="E38" s="17" t="s">
        <v>61</v>
      </c>
    </row>
    <row r="39" spans="1:7" x14ac:dyDescent="0.25">
      <c r="A39" s="5" t="s">
        <v>64</v>
      </c>
      <c r="B39" s="5" t="s">
        <v>65</v>
      </c>
      <c r="C39" s="5">
        <v>6</v>
      </c>
      <c r="D39" s="16">
        <v>1</v>
      </c>
      <c r="E39" s="17" t="s">
        <v>66</v>
      </c>
    </row>
    <row r="40" spans="1:7" x14ac:dyDescent="0.25">
      <c r="A40" s="5" t="s">
        <v>48</v>
      </c>
      <c r="B40" s="5" t="s">
        <v>49</v>
      </c>
      <c r="C40" s="5">
        <f>4*C38</f>
        <v>4</v>
      </c>
      <c r="D40" s="16">
        <v>0.09</v>
      </c>
      <c r="E40" s="17" t="s">
        <v>51</v>
      </c>
    </row>
    <row r="41" spans="1:7" x14ac:dyDescent="0.25">
      <c r="A41" s="5" t="s">
        <v>67</v>
      </c>
      <c r="C41" s="5">
        <v>2</v>
      </c>
    </row>
    <row r="42" spans="1:7" x14ac:dyDescent="0.25">
      <c r="A42" s="5" t="s">
        <v>71</v>
      </c>
      <c r="B42" s="5" t="s">
        <v>72</v>
      </c>
      <c r="C42" s="5">
        <v>1</v>
      </c>
      <c r="D42" s="16">
        <v>0.09</v>
      </c>
      <c r="E42" s="17" t="s">
        <v>70</v>
      </c>
      <c r="F42" t="s">
        <v>68</v>
      </c>
      <c r="G42" s="8" cm="1">
        <f t="array" ref="G42">SUM(C35:C42*D35:D42)</f>
        <v>8.7399999999999984</v>
      </c>
    </row>
    <row r="43" spans="1:7" x14ac:dyDescent="0.25">
      <c r="F43" t="s">
        <v>69</v>
      </c>
      <c r="G43" s="8">
        <f>G26+G33+2*G42</f>
        <v>59.85</v>
      </c>
    </row>
    <row r="44" spans="1:7" x14ac:dyDescent="0.25">
      <c r="A44" t="s">
        <v>52</v>
      </c>
    </row>
    <row r="45" spans="1:7" x14ac:dyDescent="0.25">
      <c r="A45" t="s">
        <v>53</v>
      </c>
    </row>
    <row r="47" spans="1:7" x14ac:dyDescent="0.25">
      <c r="A47" t="s">
        <v>54</v>
      </c>
    </row>
  </sheetData>
  <hyperlinks>
    <hyperlink ref="E16" r:id="rId1" xr:uid="{705EA8B1-2C0B-4A7E-93B4-21C6D2F8DCAF}"/>
    <hyperlink ref="E17" r:id="rId2" xr:uid="{30ABCC01-0E4A-4469-8190-41A9675A1ED1}"/>
    <hyperlink ref="E27" r:id="rId3" xr:uid="{80DDDE92-63D7-4956-9582-7947E7686DD2}"/>
    <hyperlink ref="E28" r:id="rId4" xr:uid="{22958E5F-725A-4E0B-900B-890B129AE231}"/>
    <hyperlink ref="C5" r:id="rId5" xr:uid="{9C3A6547-1414-4CDE-B8E6-0FFE9A65A5EC}"/>
    <hyperlink ref="E29" r:id="rId6" xr:uid="{8BB2DC79-8D55-47BE-8A36-6535D39BC933}"/>
    <hyperlink ref="E30" r:id="rId7" xr:uid="{74FADFFE-4928-4781-9CB8-E09F595AB04C}"/>
    <hyperlink ref="E31" r:id="rId8" xr:uid="{ADFBEBBA-0FF8-4DB5-8C97-9F52407776EB}"/>
    <hyperlink ref="E32" r:id="rId9" xr:uid="{9938B202-A11C-4637-970C-FE8FBC3DB320}"/>
    <hyperlink ref="E18" r:id="rId10" xr:uid="{385CE72D-71AF-48A2-A3C2-265E9415A5C0}"/>
    <hyperlink ref="E19" r:id="rId11" xr:uid="{D632D6B6-8224-4C35-94C1-D74E85FB1F60}"/>
    <hyperlink ref="E20" r:id="rId12" xr:uid="{8CBB71C6-3F15-4599-A555-1AA1BF28D641}"/>
    <hyperlink ref="E21" r:id="rId13" xr:uid="{34E5171E-9E65-4D2E-983D-D1255AFEFB04}"/>
    <hyperlink ref="E22" r:id="rId14" xr:uid="{9309E799-07DC-4C73-986F-DC41A31B5AA9}"/>
    <hyperlink ref="E23" r:id="rId15" xr:uid="{F2F1FED6-4683-496F-8A5E-59DDBF659ECC}"/>
    <hyperlink ref="C11" r:id="rId16" xr:uid="{E85FD55B-E243-4E35-AD38-A0D4AC8E2A54}"/>
    <hyperlink ref="E24" r:id="rId17" xr:uid="{F84C77D2-1FA0-4D31-8B54-ADB1144FD6AB}"/>
    <hyperlink ref="C6" r:id="rId18" xr:uid="{C1D37425-73A8-48F1-9087-A057874F4883}"/>
    <hyperlink ref="E35" r:id="rId19" xr:uid="{8E840355-1F36-4A77-A609-78B5C12FFF4B}"/>
    <hyperlink ref="E36" r:id="rId20" xr:uid="{CE901D82-71BE-4795-A011-02AFA5D31614}"/>
    <hyperlink ref="E37" r:id="rId21" xr:uid="{D904652A-EB07-4A35-803E-98D614B5D3BB}"/>
    <hyperlink ref="E38" r:id="rId22" xr:uid="{F1D00E9C-E974-4521-93CD-E51E0A63925A}"/>
    <hyperlink ref="E39" r:id="rId23" xr:uid="{811F9F67-25E3-4CAB-B938-9198E63EA5C0}"/>
    <hyperlink ref="E40" r:id="rId24" xr:uid="{096BE5BE-184A-4CF1-892B-6A1C54F9A8BA}"/>
    <hyperlink ref="E25" r:id="rId25" xr:uid="{15DBE0E1-D1EB-4085-90D4-45A024C9E873}"/>
    <hyperlink ref="E42" r:id="rId26" xr:uid="{3C4CCBEB-11AC-4DA0-B97F-D08E54BAF067}"/>
  </hyperlinks>
  <pageMargins left="0.7" right="0.7" top="0.75" bottom="0.75" header="0.3" footer="0.3"/>
  <pageSetup paperSize="9" orientation="portrait" r:id="rId2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jasper brookman</dc:creator>
  <cp:lastModifiedBy>jasper brookman</cp:lastModifiedBy>
  <dcterms:created xsi:type="dcterms:W3CDTF">2026-01-20T20:32:34Z</dcterms:created>
  <dcterms:modified xsi:type="dcterms:W3CDTF">2026-06-09T15:30:43Z</dcterms:modified>
</cp:coreProperties>
</file>